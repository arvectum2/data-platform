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1\Desktop\ЗАКУПКИ И ТОРГИ\ТОРГИ\ремонт 2,7 млн\"/>
    </mc:Choice>
  </mc:AlternateContent>
  <xr:revisionPtr revIDLastSave="0" documentId="13_ncr:1_{4C242A3C-473B-46D1-B937-D4B122F4D1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7" i="1" l="1"/>
  <c r="L27" i="1" s="1"/>
  <c r="M27" i="1"/>
  <c r="K26" i="1"/>
  <c r="K25" i="1"/>
  <c r="K24" i="1"/>
  <c r="K22" i="1"/>
  <c r="K21" i="1"/>
  <c r="K20" i="1"/>
  <c r="K18" i="1"/>
  <c r="K17" i="1"/>
  <c r="K16" i="1"/>
  <c r="K14" i="1"/>
  <c r="M26" i="1"/>
  <c r="M25" i="1"/>
  <c r="M24" i="1"/>
  <c r="M22" i="1"/>
  <c r="M21" i="1"/>
  <c r="M20" i="1"/>
  <c r="M18" i="1"/>
  <c r="M17" i="1"/>
  <c r="M16" i="1"/>
  <c r="M14" i="1"/>
  <c r="L16" i="1" l="1"/>
  <c r="L26" i="1"/>
  <c r="L14" i="1"/>
  <c r="L18" i="1"/>
  <c r="L17" i="1"/>
  <c r="L21" i="1"/>
  <c r="L20" i="1"/>
  <c r="L22" i="1"/>
  <c r="L25" i="1"/>
  <c r="L24" i="1"/>
  <c r="M11" i="1"/>
  <c r="K11" i="1"/>
  <c r="K10" i="1"/>
  <c r="M10" i="1"/>
  <c r="M28" i="1" s="1"/>
  <c r="M13" i="1"/>
  <c r="K13" i="1"/>
  <c r="M12" i="1"/>
  <c r="K12" i="1"/>
  <c r="L11" i="1" l="1"/>
  <c r="L13" i="1"/>
  <c r="L10" i="1"/>
  <c r="L12" i="1"/>
</calcChain>
</file>

<file path=xl/sharedStrings.xml><?xml version="1.0" encoding="utf-8"?>
<sst xmlns="http://schemas.openxmlformats.org/spreadsheetml/2006/main" count="82" uniqueCount="49">
  <si>
    <t>Усл. ед.</t>
  </si>
  <si>
    <t>7</t>
  </si>
  <si>
    <t>8</t>
  </si>
  <si>
    <t>9</t>
  </si>
  <si>
    <r>
      <t xml:space="preserve">Используемый метод:  </t>
    </r>
    <r>
      <rPr>
        <sz val="11"/>
        <rFont val="Times New Roman"/>
        <family val="1"/>
        <charset val="204"/>
      </rPr>
      <t xml:space="preserve">метод сопоставимых рыночных цен (анализ рынка)     </t>
    </r>
  </si>
  <si>
    <t xml:space="preserve">Обоснование начальной (максимальной) цены контракта сформировано с учетом принципа эффективности использования бюджетых средств, установленного статьей 34 Бюджетного кодекса Российской Федерации. </t>
  </si>
  <si>
    <t>Расчет произведен в соответствии с приказом МЭР РФ от 02.10.2013 №567.</t>
  </si>
  <si>
    <t>№ п/п</t>
  </si>
  <si>
    <t>Наименование работ</t>
  </si>
  <si>
    <t>Единица измерения</t>
  </si>
  <si>
    <t>Количество</t>
  </si>
  <si>
    <t>Основные характеристики объекта закупки</t>
  </si>
  <si>
    <t>Кол-во источников ценовой информации</t>
  </si>
  <si>
    <t>Цены поставщиков (исполнителей, подрядчиков), рублей</t>
  </si>
  <si>
    <t xml:space="preserve">Среднее значение цены, руб. &lt;ц&gt; </t>
  </si>
  <si>
    <t>Среднее квадратичное отклонение</t>
  </si>
  <si>
    <t xml:space="preserve">Коэффициент вариации,% </t>
  </si>
  <si>
    <t xml:space="preserve">Расчет НМЦК </t>
  </si>
  <si>
    <t>В соответствии с ТЗ</t>
  </si>
  <si>
    <t>1</t>
  </si>
  <si>
    <t>2</t>
  </si>
  <si>
    <t>3</t>
  </si>
  <si>
    <t>4</t>
  </si>
  <si>
    <t>5</t>
  </si>
  <si>
    <t>6</t>
  </si>
  <si>
    <t>10</t>
  </si>
  <si>
    <t>11</t>
  </si>
  <si>
    <t>12</t>
  </si>
  <si>
    <t>13</t>
  </si>
  <si>
    <t>14</t>
  </si>
  <si>
    <t>т/х Риф</t>
  </si>
  <si>
    <t xml:space="preserve">Произвести демонтаж системы АПС дизельгенераторов, демонтаж кабельных трас, датчиком и щитов сигнализации. 
Частичный демонтаж внутренней обшивки жилых и служебных помещений. </t>
  </si>
  <si>
    <t xml:space="preserve">Произвести монтаж новой системы АПС дизельгенераторов, прокладка кабелей, установка щитов АПС местного и дистанционного управления, подключение датчиков АПС, настройка и срабатывание датчиков АПС ДГ предупредительной и аварийной сигнализации, подключение системы АПС к бортовой сети от основного и аварийного источников питания. </t>
  </si>
  <si>
    <t xml:space="preserve">Подключение генератора к главному распределительному щиту, монтаж силового кабеля, подключение автоматики генератора по перегрузкам, настройка и проверка работы генератора по нагрузками 30,50,100%. Все монтажные работы выполняются согласно проектной документацией, согласованной с РКО, монтаж кабельных трас установка щитов и необходимого оборудования выполняется согласно правилам и требований РКО. В стоимость монтажных работ также входит стоимость необходимого крепежного материала и сопутствующие работы в процессе выполнения монтажа и настройка оборудования. </t>
  </si>
  <si>
    <t>Демонтаж кабельных трас, автоматики котла КОАВ 63.</t>
  </si>
  <si>
    <t>Монтаж кабельной трасы и подключение котла КИРУРАМИ КСО 70, проверка и настройка работы котла в автоматическом и ручном режимах работы. Проверка, настройка и срабатывание датчиков АПС котлоагрегата, предупредительной и аварийной сигнализации. Все монтажные работы выполняются согласно проектной документацией, согласованной с РКО, монтаж кабельных трас установка щитов и необходимого оборудования выполняется согласно правилам и требований РКО. В стоимость монтажных работ также входит стоимость необходимого крепежного материала и сопутствующие работы в процессе выполнения монтажа и настройка оборудования.</t>
  </si>
  <si>
    <t>т/х Берег</t>
  </si>
  <si>
    <t>т/х Пеленг</t>
  </si>
  <si>
    <t xml:space="preserve">Подключение генератора к главному распределительному щиту, монтаж силового кабеля, подключение автоматики генератора по перегрузкам, настройка и проверка работы генератора под нагрузками 30,50,100%. Все монтажные работы выполняются согласно проектной документацией, согласованной с РКО, монтаж кабельных трас установка щитов и необходимого оборудования выполняется согласно правилам и требований РКО. В стоимость монтажных работ также входит стоимость необходимого крепежного материала и сопутствующие работы в процессе выполнения монтажа и настройка оборудования. </t>
  </si>
  <si>
    <t>Брандвахта - 13</t>
  </si>
  <si>
    <t xml:space="preserve">Генератор №1 МСС-82-4 – дефектация, промыть, просушить, пролачить, собрать, установить. Поднять сопротивление изоляции до нормы. Предъявить в работе Заказчику и эксперту РКО, выдать акт дефектации и акт выполненных работ с согласованием РКО. </t>
  </si>
  <si>
    <t>Пожарная сигнализация – произвести дефектацию, согласно дефектации произвести ремонт. Проверка датчиков, проверка срабатывания лучей. Произвести настройку пожарной сигнализации, после ремонта предъявить заказчику и эксперту РКО.</t>
  </si>
  <si>
    <t xml:space="preserve">Котел КОАВ – 63 – произвести дефектацию согласно акту дефектации произвести ремонт, восстановить автоматическую работу котлоагрегата, проверка датчиков предупредительной и аварийной сигнализации котла. </t>
  </si>
  <si>
    <t>Главный инженер Самарского РВП и с                                              Л.В. Болгов</t>
  </si>
  <si>
    <t>15</t>
  </si>
  <si>
    <t>Произвести дефектацию и ремонт электроприводов вентиляторов жилых помещений, камбуза и МО. Снять, разобрать, промыть, просушить, поднять изоляцию до норм РКО, пролачить, собрать предъявить, установить на штатное место, заменить  Заказчику и эксперту РКО.</t>
  </si>
  <si>
    <t>КП №1 от  04.08.2026</t>
  </si>
  <si>
    <t>КП №2 от 07.08.2026</t>
  </si>
  <si>
    <t>КП №3 от  12.082026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</si>
</sst>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2323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0" fontId="4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/>
    <xf numFmtId="0" fontId="6" fillId="0" borderId="5" xfId="0" applyFont="1" applyBorder="1" applyAlignment="1">
      <alignment horizontal="center" vertical="center" wrapText="1"/>
    </xf>
    <xf numFmtId="165" fontId="0" fillId="0" borderId="0" xfId="0" applyNumberFormat="1"/>
    <xf numFmtId="10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0" xfId="0" applyNumberFormat="1"/>
    <xf numFmtId="164" fontId="2" fillId="2" borderId="4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4" fontId="7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65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vertical="top" wrapText="1"/>
    </xf>
    <xf numFmtId="10" fontId="3" fillId="0" borderId="4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7</xdr:row>
      <xdr:rowOff>276225</xdr:rowOff>
    </xdr:from>
    <xdr:to>
      <xdr:col>10</xdr:col>
      <xdr:colOff>752475</xdr:colOff>
      <xdr:row>7</xdr:row>
      <xdr:rowOff>704850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D6D8254-D46F-41BF-838E-994D1F5F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247900"/>
          <a:ext cx="7334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28575</xdr:colOff>
      <xdr:row>7</xdr:row>
      <xdr:rowOff>180975</xdr:rowOff>
    </xdr:from>
    <xdr:to>
      <xdr:col>11</xdr:col>
      <xdr:colOff>733425</xdr:colOff>
      <xdr:row>7</xdr:row>
      <xdr:rowOff>571500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7F70692-BF5E-4A1B-B8BC-35177C1F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2152650"/>
          <a:ext cx="6762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"/>
  <sheetViews>
    <sheetView tabSelected="1" topLeftCell="A4" zoomScale="120" zoomScaleNormal="120" workbookViewId="0">
      <selection activeCell="K7" sqref="K7:K8"/>
    </sheetView>
  </sheetViews>
  <sheetFormatPr defaultRowHeight="15" x14ac:dyDescent="0.25"/>
  <cols>
    <col min="2" max="2" width="45.5703125" customWidth="1"/>
    <col min="6" max="6" width="9.7109375" customWidth="1"/>
    <col min="7" max="7" width="12.140625" customWidth="1"/>
    <col min="8" max="9" width="10" bestFit="1" customWidth="1"/>
    <col min="10" max="10" width="12.5703125" style="32" customWidth="1"/>
    <col min="12" max="12" width="12.7109375" customWidth="1"/>
    <col min="13" max="13" width="13.140625" customWidth="1"/>
    <col min="14" max="14" width="14.140625" bestFit="1" customWidth="1"/>
    <col min="18" max="18" width="9.140625" customWidth="1"/>
  </cols>
  <sheetData>
    <row r="1" spans="1:14" x14ac:dyDescent="0.25">
      <c r="A1" s="8"/>
      <c r="B1" s="9"/>
      <c r="C1" s="9"/>
      <c r="D1" s="9"/>
      <c r="E1" s="9"/>
      <c r="F1" s="9"/>
      <c r="G1" s="44"/>
      <c r="H1" s="44"/>
      <c r="I1" s="10"/>
      <c r="J1" s="33"/>
      <c r="K1" s="11"/>
      <c r="L1" s="12"/>
      <c r="M1" s="23">
        <v>46251</v>
      </c>
    </row>
    <row r="2" spans="1:14" x14ac:dyDescent="0.25">
      <c r="A2" s="8"/>
      <c r="B2" s="9"/>
      <c r="C2" s="9"/>
      <c r="D2" s="9"/>
      <c r="E2" s="9"/>
      <c r="F2" s="9"/>
      <c r="G2" s="44"/>
      <c r="H2" s="44"/>
      <c r="I2" s="10"/>
      <c r="J2" s="33"/>
      <c r="K2" s="11"/>
      <c r="L2" s="9"/>
    </row>
    <row r="3" spans="1:14" x14ac:dyDescent="0.25">
      <c r="A3" s="8"/>
      <c r="B3" s="8"/>
      <c r="C3" s="8"/>
      <c r="D3" s="45" t="s">
        <v>4</v>
      </c>
      <c r="E3" s="45"/>
      <c r="F3" s="45"/>
      <c r="G3" s="45"/>
      <c r="H3" s="45"/>
      <c r="I3" s="8"/>
      <c r="J3" s="34"/>
      <c r="K3" s="13"/>
      <c r="L3" s="8"/>
    </row>
    <row r="4" spans="1:14" x14ac:dyDescent="0.25">
      <c r="A4" s="8"/>
      <c r="B4" s="8"/>
      <c r="C4" s="8"/>
      <c r="D4" s="45"/>
      <c r="E4" s="45"/>
      <c r="F4" s="45"/>
      <c r="G4" s="45"/>
      <c r="H4" s="45"/>
      <c r="I4" s="8"/>
      <c r="J4" s="34"/>
      <c r="K4" s="13"/>
      <c r="L4" s="8"/>
    </row>
    <row r="5" spans="1:14" x14ac:dyDescent="0.25">
      <c r="A5" s="46" t="s">
        <v>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14"/>
    </row>
    <row r="6" spans="1:14" x14ac:dyDescent="0.25">
      <c r="A6" s="47" t="s">
        <v>6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15"/>
    </row>
    <row r="7" spans="1:14" ht="45" customHeight="1" x14ac:dyDescent="0.25">
      <c r="A7" s="48" t="s">
        <v>7</v>
      </c>
      <c r="B7" s="50" t="s">
        <v>8</v>
      </c>
      <c r="C7" s="42" t="s">
        <v>9</v>
      </c>
      <c r="D7" s="42" t="s">
        <v>10</v>
      </c>
      <c r="E7" s="42" t="s">
        <v>11</v>
      </c>
      <c r="F7" s="42" t="s">
        <v>12</v>
      </c>
      <c r="G7" s="42" t="s">
        <v>13</v>
      </c>
      <c r="H7" s="42"/>
      <c r="I7" s="42"/>
      <c r="J7" s="52" t="s">
        <v>14</v>
      </c>
      <c r="K7" s="54" t="s">
        <v>15</v>
      </c>
      <c r="L7" s="56" t="s">
        <v>16</v>
      </c>
      <c r="M7" s="42" t="s">
        <v>17</v>
      </c>
    </row>
    <row r="8" spans="1:14" ht="41.25" customHeight="1" x14ac:dyDescent="0.25">
      <c r="A8" s="49"/>
      <c r="B8" s="51"/>
      <c r="C8" s="43"/>
      <c r="D8" s="43"/>
      <c r="E8" s="43"/>
      <c r="F8" s="43"/>
      <c r="G8" s="16" t="s">
        <v>46</v>
      </c>
      <c r="H8" s="16" t="s">
        <v>47</v>
      </c>
      <c r="I8" s="16" t="s">
        <v>48</v>
      </c>
      <c r="J8" s="53"/>
      <c r="K8" s="55"/>
      <c r="L8" s="57"/>
      <c r="M8" s="43"/>
    </row>
    <row r="9" spans="1:14" ht="29.25" customHeight="1" x14ac:dyDescent="0.25">
      <c r="A9" s="37"/>
      <c r="B9" s="37" t="s">
        <v>30</v>
      </c>
      <c r="C9" s="37"/>
      <c r="D9" s="37"/>
      <c r="E9" s="18"/>
      <c r="F9" s="5"/>
      <c r="G9" s="4"/>
      <c r="H9" s="4"/>
      <c r="I9" s="4"/>
      <c r="J9" s="31"/>
      <c r="K9" s="1"/>
      <c r="L9" s="20"/>
      <c r="M9" s="21"/>
      <c r="N9" s="19"/>
    </row>
    <row r="10" spans="1:14" ht="71.25" customHeight="1" x14ac:dyDescent="0.25">
      <c r="A10" s="6" t="s">
        <v>19</v>
      </c>
      <c r="B10" s="3" t="s">
        <v>31</v>
      </c>
      <c r="C10" s="2" t="s">
        <v>0</v>
      </c>
      <c r="D10" s="2">
        <v>2</v>
      </c>
      <c r="E10" s="18" t="s">
        <v>18</v>
      </c>
      <c r="F10" s="5">
        <v>3</v>
      </c>
      <c r="G10" s="4">
        <v>52621.36</v>
      </c>
      <c r="H10" s="4">
        <v>51521.32</v>
      </c>
      <c r="I10" s="4">
        <v>53421.54</v>
      </c>
      <c r="J10" s="31">
        <v>52521.41</v>
      </c>
      <c r="K10" s="1">
        <f t="shared" ref="K10:K13" si="0">_xlfn.STDEV.S(G10,H10,I10)</f>
        <v>954.04507950795198</v>
      </c>
      <c r="L10" s="20">
        <f t="shared" ref="L10:L13" si="1">K10/J10</f>
        <v>1.8164879417897423E-2</v>
      </c>
      <c r="M10" s="21">
        <f t="shared" ref="M10:M13" si="2">J10*D10</f>
        <v>105042.82</v>
      </c>
    </row>
    <row r="11" spans="1:14" ht="121.5" customHeight="1" x14ac:dyDescent="0.25">
      <c r="A11" s="26" t="s">
        <v>20</v>
      </c>
      <c r="B11" s="38" t="s">
        <v>32</v>
      </c>
      <c r="C11" s="39" t="s">
        <v>0</v>
      </c>
      <c r="D11" s="39">
        <v>2</v>
      </c>
      <c r="E11" s="27" t="s">
        <v>18</v>
      </c>
      <c r="F11" s="24">
        <v>3</v>
      </c>
      <c r="G11" s="25">
        <v>141234.51</v>
      </c>
      <c r="H11" s="25">
        <v>139564.21</v>
      </c>
      <c r="I11" s="25">
        <v>142458.65</v>
      </c>
      <c r="J11" s="35">
        <v>141085.79</v>
      </c>
      <c r="K11" s="30">
        <f>_xlfn.STDEV.S(G11,H11,I11)</f>
        <v>1452.9397637892653</v>
      </c>
      <c r="L11" s="28">
        <f>K11/J11</f>
        <v>1.0298271454476494E-2</v>
      </c>
      <c r="M11" s="29">
        <f>J11*D11</f>
        <v>282171.58</v>
      </c>
    </row>
    <row r="12" spans="1:14" ht="226.5" customHeight="1" x14ac:dyDescent="0.25">
      <c r="A12" s="6" t="s">
        <v>21</v>
      </c>
      <c r="B12" s="3" t="s">
        <v>33</v>
      </c>
      <c r="C12" s="2" t="s">
        <v>0</v>
      </c>
      <c r="D12" s="2">
        <v>2</v>
      </c>
      <c r="E12" s="18" t="s">
        <v>18</v>
      </c>
      <c r="F12" s="5">
        <v>3</v>
      </c>
      <c r="G12" s="4">
        <v>162384.62</v>
      </c>
      <c r="H12" s="4">
        <v>152564.23000000001</v>
      </c>
      <c r="I12" s="4">
        <v>174542.82</v>
      </c>
      <c r="J12" s="31">
        <v>163163.89000000001</v>
      </c>
      <c r="K12" s="1">
        <f t="shared" si="0"/>
        <v>11009.99777005881</v>
      </c>
      <c r="L12" s="20">
        <f t="shared" si="1"/>
        <v>6.7478151998330071E-2</v>
      </c>
      <c r="M12" s="21">
        <f t="shared" si="2"/>
        <v>326327.78000000003</v>
      </c>
    </row>
    <row r="13" spans="1:14" ht="58.5" customHeight="1" x14ac:dyDescent="0.25">
      <c r="A13" s="6" t="s">
        <v>22</v>
      </c>
      <c r="B13" s="3" t="s">
        <v>34</v>
      </c>
      <c r="C13" s="2" t="s">
        <v>0</v>
      </c>
      <c r="D13" s="2">
        <v>1</v>
      </c>
      <c r="E13" s="18" t="s">
        <v>18</v>
      </c>
      <c r="F13" s="5">
        <v>3</v>
      </c>
      <c r="G13" s="4">
        <v>65234.78</v>
      </c>
      <c r="H13" s="4">
        <v>64148.26</v>
      </c>
      <c r="I13" s="4">
        <v>67421.47</v>
      </c>
      <c r="J13" s="31">
        <v>65601.5</v>
      </c>
      <c r="K13" s="1">
        <f t="shared" si="0"/>
        <v>1667.1353959511905</v>
      </c>
      <c r="L13" s="20">
        <f t="shared" si="1"/>
        <v>2.5413068237024924E-2</v>
      </c>
      <c r="M13" s="21">
        <f t="shared" si="2"/>
        <v>65601.5</v>
      </c>
    </row>
    <row r="14" spans="1:14" ht="232.5" customHeight="1" x14ac:dyDescent="0.25">
      <c r="A14" s="6" t="s">
        <v>23</v>
      </c>
      <c r="B14" s="3" t="s">
        <v>35</v>
      </c>
      <c r="C14" s="2" t="s">
        <v>0</v>
      </c>
      <c r="D14" s="2">
        <v>1</v>
      </c>
      <c r="E14" s="18" t="s">
        <v>18</v>
      </c>
      <c r="F14" s="5">
        <v>3</v>
      </c>
      <c r="G14" s="4">
        <v>120000</v>
      </c>
      <c r="H14" s="4">
        <v>110325.54</v>
      </c>
      <c r="I14" s="4">
        <v>125524.63</v>
      </c>
      <c r="J14" s="31">
        <v>118616.72</v>
      </c>
      <c r="K14" s="1">
        <f t="shared" ref="K14:K26" si="3">_xlfn.STDEV.S(G14,H14,I14)</f>
        <v>7693.3851430585109</v>
      </c>
      <c r="L14" s="20">
        <f t="shared" ref="L14:L26" si="4">K14/J14</f>
        <v>6.4859196435869335E-2</v>
      </c>
      <c r="M14" s="21">
        <f t="shared" ref="M14:M26" si="5">J14*D14</f>
        <v>118616.72</v>
      </c>
      <c r="N14" s="19"/>
    </row>
    <row r="15" spans="1:14" ht="25.5" customHeight="1" x14ac:dyDescent="0.25">
      <c r="A15" s="6"/>
      <c r="B15" s="2" t="s">
        <v>36</v>
      </c>
      <c r="C15" s="2"/>
      <c r="D15" s="2"/>
      <c r="E15" s="18"/>
      <c r="F15" s="5"/>
      <c r="G15" s="4"/>
      <c r="H15" s="4"/>
      <c r="I15" s="4"/>
      <c r="J15" s="31"/>
      <c r="K15" s="1"/>
      <c r="L15" s="20"/>
      <c r="M15" s="21"/>
    </row>
    <row r="16" spans="1:14" ht="106.5" customHeight="1" x14ac:dyDescent="0.25">
      <c r="A16" s="6" t="s">
        <v>24</v>
      </c>
      <c r="B16" s="3" t="s">
        <v>31</v>
      </c>
      <c r="C16" s="2" t="s">
        <v>0</v>
      </c>
      <c r="D16" s="2">
        <v>2</v>
      </c>
      <c r="E16" s="18" t="s">
        <v>18</v>
      </c>
      <c r="F16" s="5">
        <v>3</v>
      </c>
      <c r="G16" s="4">
        <v>52621.36</v>
      </c>
      <c r="H16" s="4">
        <v>51521.32</v>
      </c>
      <c r="I16" s="4">
        <v>53421.54</v>
      </c>
      <c r="J16" s="31">
        <v>52521.41</v>
      </c>
      <c r="K16" s="1">
        <f t="shared" si="3"/>
        <v>954.04507950795198</v>
      </c>
      <c r="L16" s="20">
        <f t="shared" si="4"/>
        <v>1.8164879417897423E-2</v>
      </c>
      <c r="M16" s="21">
        <f t="shared" si="5"/>
        <v>105042.82</v>
      </c>
    </row>
    <row r="17" spans="1:13" ht="59.25" customHeight="1" x14ac:dyDescent="0.25">
      <c r="A17" s="6" t="s">
        <v>1</v>
      </c>
      <c r="B17" s="3" t="s">
        <v>32</v>
      </c>
      <c r="C17" s="2" t="s">
        <v>0</v>
      </c>
      <c r="D17" s="2">
        <v>2</v>
      </c>
      <c r="E17" s="18" t="s">
        <v>18</v>
      </c>
      <c r="F17" s="5">
        <v>3</v>
      </c>
      <c r="G17" s="25">
        <v>141234.51</v>
      </c>
      <c r="H17" s="25">
        <v>139564.21</v>
      </c>
      <c r="I17" s="25">
        <v>142458.65</v>
      </c>
      <c r="J17" s="31">
        <v>141085.79</v>
      </c>
      <c r="K17" s="1">
        <f t="shared" si="3"/>
        <v>1452.9397637892653</v>
      </c>
      <c r="L17" s="20">
        <f t="shared" si="4"/>
        <v>1.0298271454476494E-2</v>
      </c>
      <c r="M17" s="21">
        <f t="shared" si="5"/>
        <v>282171.58</v>
      </c>
    </row>
    <row r="18" spans="1:13" ht="102" customHeight="1" x14ac:dyDescent="0.25">
      <c r="A18" s="6" t="s">
        <v>2</v>
      </c>
      <c r="B18" s="3" t="s">
        <v>33</v>
      </c>
      <c r="C18" s="2" t="s">
        <v>0</v>
      </c>
      <c r="D18" s="2">
        <v>2</v>
      </c>
      <c r="E18" s="18" t="s">
        <v>18</v>
      </c>
      <c r="F18" s="5">
        <v>3</v>
      </c>
      <c r="G18" s="4">
        <v>162384.62</v>
      </c>
      <c r="H18" s="4">
        <v>152564.23000000001</v>
      </c>
      <c r="I18" s="4">
        <v>174542.82</v>
      </c>
      <c r="J18" s="31">
        <v>163163.89000000001</v>
      </c>
      <c r="K18" s="1">
        <f t="shared" si="3"/>
        <v>11009.99777005881</v>
      </c>
      <c r="L18" s="20">
        <f t="shared" si="4"/>
        <v>6.7478151998330071E-2</v>
      </c>
      <c r="M18" s="21">
        <f t="shared" si="5"/>
        <v>326327.78000000003</v>
      </c>
    </row>
    <row r="19" spans="1:13" ht="27" customHeight="1" x14ac:dyDescent="0.25">
      <c r="A19" s="6"/>
      <c r="B19" s="2" t="s">
        <v>37</v>
      </c>
      <c r="C19" s="2"/>
      <c r="D19" s="2"/>
      <c r="E19" s="18"/>
      <c r="F19" s="5"/>
      <c r="G19" s="4"/>
      <c r="H19" s="4"/>
      <c r="I19" s="4"/>
      <c r="J19" s="31"/>
      <c r="K19" s="1"/>
      <c r="L19" s="20"/>
      <c r="M19" s="21"/>
    </row>
    <row r="20" spans="1:13" ht="114" customHeight="1" x14ac:dyDescent="0.25">
      <c r="A20" s="6" t="s">
        <v>3</v>
      </c>
      <c r="B20" s="3" t="s">
        <v>31</v>
      </c>
      <c r="C20" s="2" t="s">
        <v>0</v>
      </c>
      <c r="D20" s="2">
        <v>2</v>
      </c>
      <c r="E20" s="18" t="s">
        <v>18</v>
      </c>
      <c r="F20" s="5">
        <v>3</v>
      </c>
      <c r="G20" s="4">
        <v>52621.36</v>
      </c>
      <c r="H20" s="4">
        <v>51521.32</v>
      </c>
      <c r="I20" s="4">
        <v>53421.54</v>
      </c>
      <c r="J20" s="31">
        <v>52521.41</v>
      </c>
      <c r="K20" s="1">
        <f t="shared" si="3"/>
        <v>954.04507950795198</v>
      </c>
      <c r="L20" s="20">
        <f t="shared" si="4"/>
        <v>1.8164879417897423E-2</v>
      </c>
      <c r="M20" s="21">
        <f t="shared" si="5"/>
        <v>105042.82</v>
      </c>
    </row>
    <row r="21" spans="1:13" ht="129.75" customHeight="1" x14ac:dyDescent="0.25">
      <c r="A21" s="6" t="s">
        <v>25</v>
      </c>
      <c r="B21" s="3" t="s">
        <v>32</v>
      </c>
      <c r="C21" s="2" t="s">
        <v>0</v>
      </c>
      <c r="D21" s="2">
        <v>2</v>
      </c>
      <c r="E21" s="18" t="s">
        <v>18</v>
      </c>
      <c r="F21" s="5">
        <v>3</v>
      </c>
      <c r="G21" s="25">
        <v>141234.51</v>
      </c>
      <c r="H21" s="25">
        <v>139564.21</v>
      </c>
      <c r="I21" s="25">
        <v>142458.65</v>
      </c>
      <c r="J21" s="31">
        <v>141085.79</v>
      </c>
      <c r="K21" s="1">
        <f t="shared" si="3"/>
        <v>1452.9397637892653</v>
      </c>
      <c r="L21" s="20">
        <f t="shared" si="4"/>
        <v>1.0298271454476494E-2</v>
      </c>
      <c r="M21" s="21">
        <f t="shared" si="5"/>
        <v>282171.58</v>
      </c>
    </row>
    <row r="22" spans="1:13" ht="59.25" customHeight="1" x14ac:dyDescent="0.25">
      <c r="A22" s="6" t="s">
        <v>26</v>
      </c>
      <c r="B22" s="3" t="s">
        <v>38</v>
      </c>
      <c r="C22" s="2" t="s">
        <v>0</v>
      </c>
      <c r="D22" s="2">
        <v>2</v>
      </c>
      <c r="E22" s="18" t="s">
        <v>18</v>
      </c>
      <c r="F22" s="5">
        <v>3</v>
      </c>
      <c r="G22" s="4">
        <v>162384.62</v>
      </c>
      <c r="H22" s="4">
        <v>152564.23000000001</v>
      </c>
      <c r="I22" s="4">
        <v>174542.82</v>
      </c>
      <c r="J22" s="31">
        <v>163163.89000000001</v>
      </c>
      <c r="K22" s="1">
        <f t="shared" si="3"/>
        <v>11009.99777005881</v>
      </c>
      <c r="L22" s="20">
        <f t="shared" si="4"/>
        <v>6.7478151998330071E-2</v>
      </c>
      <c r="M22" s="21">
        <f t="shared" si="5"/>
        <v>326327.78000000003</v>
      </c>
    </row>
    <row r="23" spans="1:13" ht="26.25" customHeight="1" x14ac:dyDescent="0.25">
      <c r="A23" s="6"/>
      <c r="B23" s="2" t="s">
        <v>39</v>
      </c>
      <c r="C23" s="2"/>
      <c r="D23" s="2"/>
      <c r="E23" s="18"/>
      <c r="F23" s="5"/>
      <c r="G23" s="4"/>
      <c r="H23" s="4"/>
      <c r="I23" s="4"/>
      <c r="J23" s="31"/>
      <c r="K23" s="1"/>
      <c r="L23" s="20"/>
      <c r="M23" s="21"/>
    </row>
    <row r="24" spans="1:13" ht="99.75" customHeight="1" x14ac:dyDescent="0.25">
      <c r="A24" s="6" t="s">
        <v>27</v>
      </c>
      <c r="B24" s="3" t="s">
        <v>40</v>
      </c>
      <c r="C24" s="2" t="s">
        <v>0</v>
      </c>
      <c r="D24" s="2">
        <v>1</v>
      </c>
      <c r="E24" s="18" t="s">
        <v>18</v>
      </c>
      <c r="F24" s="5">
        <v>3</v>
      </c>
      <c r="G24" s="4">
        <v>115654.23</v>
      </c>
      <c r="H24" s="4">
        <v>112457.28</v>
      </c>
      <c r="I24" s="4">
        <v>120215.54</v>
      </c>
      <c r="J24" s="31">
        <v>116109.02</v>
      </c>
      <c r="K24" s="1">
        <f t="shared" si="3"/>
        <v>3899.0733182428507</v>
      </c>
      <c r="L24" s="20">
        <f t="shared" si="4"/>
        <v>3.3581140537081881E-2</v>
      </c>
      <c r="M24" s="21">
        <f t="shared" si="5"/>
        <v>116109.02</v>
      </c>
    </row>
    <row r="25" spans="1:13" ht="94.5" customHeight="1" x14ac:dyDescent="0.25">
      <c r="A25" s="6" t="s">
        <v>28</v>
      </c>
      <c r="B25" s="40" t="s">
        <v>41</v>
      </c>
      <c r="C25" s="2" t="s">
        <v>0</v>
      </c>
      <c r="D25" s="2">
        <v>1</v>
      </c>
      <c r="E25" s="18" t="s">
        <v>18</v>
      </c>
      <c r="F25" s="5">
        <v>3</v>
      </c>
      <c r="G25" s="4">
        <v>104956.72</v>
      </c>
      <c r="H25" s="4">
        <v>100245.84</v>
      </c>
      <c r="I25" s="4">
        <v>110412.29</v>
      </c>
      <c r="J25" s="31">
        <v>105204.95</v>
      </c>
      <c r="K25" s="1">
        <f t="shared" si="3"/>
        <v>5087.7686661541502</v>
      </c>
      <c r="L25" s="20">
        <f t="shared" si="4"/>
        <v>4.8360544500559627E-2</v>
      </c>
      <c r="M25" s="21">
        <f t="shared" si="5"/>
        <v>105204.95</v>
      </c>
    </row>
    <row r="26" spans="1:13" ht="102" customHeight="1" x14ac:dyDescent="0.25">
      <c r="A26" s="6" t="s">
        <v>29</v>
      </c>
      <c r="B26" s="3" t="s">
        <v>42</v>
      </c>
      <c r="C26" s="2" t="s">
        <v>0</v>
      </c>
      <c r="D26" s="2">
        <v>1</v>
      </c>
      <c r="E26" s="18" t="s">
        <v>18</v>
      </c>
      <c r="F26" s="5">
        <v>3</v>
      </c>
      <c r="G26" s="4">
        <v>102854.63</v>
      </c>
      <c r="H26" s="4">
        <v>100326.59</v>
      </c>
      <c r="I26" s="4">
        <v>105753.26</v>
      </c>
      <c r="J26" s="31">
        <v>102978.16</v>
      </c>
      <c r="K26" s="1">
        <f t="shared" si="3"/>
        <v>2715.443162340172</v>
      </c>
      <c r="L26" s="20">
        <f t="shared" si="4"/>
        <v>2.6369117124836684E-2</v>
      </c>
      <c r="M26" s="21">
        <f t="shared" si="5"/>
        <v>102978.16</v>
      </c>
    </row>
    <row r="27" spans="1:13" ht="102" customHeight="1" x14ac:dyDescent="0.25">
      <c r="A27" s="6" t="s">
        <v>44</v>
      </c>
      <c r="B27" s="3" t="s">
        <v>45</v>
      </c>
      <c r="C27" s="2" t="s">
        <v>0</v>
      </c>
      <c r="D27" s="2">
        <v>1</v>
      </c>
      <c r="E27" s="18" t="s">
        <v>18</v>
      </c>
      <c r="F27" s="5">
        <v>3</v>
      </c>
      <c r="G27" s="4">
        <v>115526.31</v>
      </c>
      <c r="H27" s="4">
        <v>102546.23</v>
      </c>
      <c r="I27" s="4">
        <v>116458.96</v>
      </c>
      <c r="J27" s="31">
        <v>111510.5</v>
      </c>
      <c r="K27" s="1">
        <f t="shared" ref="K27" si="6">_xlfn.STDEV.S(G27,H27,I27)</f>
        <v>7777.2785394571065</v>
      </c>
      <c r="L27" s="20">
        <f t="shared" ref="L27" si="7">K27/J27</f>
        <v>6.9744809138665029E-2</v>
      </c>
      <c r="M27" s="21">
        <f t="shared" ref="M27" si="8">J27*D27</f>
        <v>111510.5</v>
      </c>
    </row>
    <row r="28" spans="1:13" x14ac:dyDescent="0.25">
      <c r="A28" s="17"/>
      <c r="B28" s="17"/>
      <c r="C28" s="17"/>
      <c r="D28" s="17"/>
      <c r="E28" s="17"/>
      <c r="F28" s="17"/>
      <c r="G28" s="22"/>
      <c r="H28" s="22"/>
      <c r="I28" s="22"/>
      <c r="J28" s="36"/>
      <c r="K28" s="22"/>
      <c r="L28" s="22"/>
      <c r="M28" s="41">
        <f>SUM(M10:M27)</f>
        <v>2760647.3900000006</v>
      </c>
    </row>
    <row r="29" spans="1:13" x14ac:dyDescent="0.25">
      <c r="F29" s="7"/>
      <c r="M29" s="7"/>
    </row>
    <row r="30" spans="1:13" x14ac:dyDescent="0.25">
      <c r="F30" s="7"/>
      <c r="M30" s="19"/>
    </row>
    <row r="31" spans="1:13" x14ac:dyDescent="0.25">
      <c r="B31" t="s">
        <v>43</v>
      </c>
    </row>
    <row r="32" spans="1:13" x14ac:dyDescent="0.25">
      <c r="F32" s="7"/>
    </row>
    <row r="35" spans="6:6" x14ac:dyDescent="0.25">
      <c r="F35" s="7"/>
    </row>
    <row r="36" spans="6:6" x14ac:dyDescent="0.25">
      <c r="F36" s="7"/>
    </row>
  </sheetData>
  <mergeCells count="15">
    <mergeCell ref="M7:M8"/>
    <mergeCell ref="G1:H2"/>
    <mergeCell ref="D3:H4"/>
    <mergeCell ref="A5:L5"/>
    <mergeCell ref="A6:L6"/>
    <mergeCell ref="A7:A8"/>
    <mergeCell ref="B7:B8"/>
    <mergeCell ref="C7:C8"/>
    <mergeCell ref="D7:D8"/>
    <mergeCell ref="E7:E8"/>
    <mergeCell ref="F7:F8"/>
    <mergeCell ref="G7:I7"/>
    <mergeCell ref="J7:J8"/>
    <mergeCell ref="K7:K8"/>
    <mergeCell ref="L7:L8"/>
  </mergeCells>
  <pageMargins left="0.7" right="0.7" top="0.75" bottom="0.75" header="0.3" footer="0.3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2026-08-17T12:41:36Z</cp:lastPrinted>
  <dcterms:created xsi:type="dcterms:W3CDTF">2015-06-05T18:17:20Z</dcterms:created>
  <dcterms:modified xsi:type="dcterms:W3CDTF">2026-09-02T05:10:47Z</dcterms:modified>
</cp:coreProperties>
</file>